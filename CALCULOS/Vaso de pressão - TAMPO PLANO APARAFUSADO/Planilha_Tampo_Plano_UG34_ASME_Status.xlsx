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po_UG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MEMORIAL DE CÁLCULO - TAMPO PLANO APARAFUSADO (ASME VIII DIV.1 UG-34)</t>
        </is>
      </c>
    </row>
    <row r="2">
      <c r="A2" t="inlineStr">
        <is>
          <t>Parâmetro</t>
        </is>
      </c>
      <c r="B2" t="inlineStr">
        <is>
          <t>Valor</t>
        </is>
      </c>
    </row>
    <row r="3">
      <c r="A3" t="inlineStr">
        <is>
          <t>Diâmetro efetivo d (mm)</t>
        </is>
      </c>
      <c r="B3" t="n">
        <v>300</v>
      </c>
    </row>
    <row r="4">
      <c r="A4" t="inlineStr">
        <is>
          <t>Pressão de Projeto P (MPa)</t>
        </is>
      </c>
      <c r="B4" t="n">
        <v>0.7</v>
      </c>
    </row>
    <row r="5">
      <c r="A5" t="inlineStr">
        <is>
          <t>Tensão Admissível S (MPa)</t>
        </is>
      </c>
      <c r="B5" t="n">
        <v>138</v>
      </c>
    </row>
    <row r="6">
      <c r="A6" t="inlineStr">
        <is>
          <t>Eficiência E</t>
        </is>
      </c>
      <c r="B6" t="n">
        <v>1</v>
      </c>
    </row>
    <row r="7">
      <c r="A7" t="inlineStr">
        <is>
          <t>Fator C</t>
        </is>
      </c>
      <c r="B7" t="n">
        <v>0.3</v>
      </c>
    </row>
    <row r="8">
      <c r="A8" t="inlineStr">
        <is>
          <t>Sobrecorrosão CA (mm)</t>
        </is>
      </c>
      <c r="B8" t="n">
        <v>0</v>
      </c>
    </row>
    <row r="9">
      <c r="A9" t="inlineStr">
        <is>
          <t>Espessura Medida t (mm)</t>
        </is>
      </c>
      <c r="B9" t="n">
        <v>8</v>
      </c>
    </row>
    <row r="10"/>
    <row r="11">
      <c r="A11" t="inlineStr">
        <is>
          <t>Espessura mínima requerida (mm)</t>
        </is>
      </c>
      <c r="B11">
        <f>B3*SQRT((B7*B4)/(B5*B6))</f>
        <v/>
      </c>
    </row>
    <row r="12">
      <c r="A12" t="inlineStr">
        <is>
          <t>PMTA (MPa)</t>
        </is>
      </c>
      <c r="B12">
        <f>((B5*B6)/B7)*(((B9-B8)/B3)^2)</f>
        <v/>
      </c>
    </row>
    <row r="13">
      <c r="A13" t="inlineStr">
        <is>
          <t>PMTA (kgf/cm²)</t>
        </is>
      </c>
      <c r="B13">
        <f>B12*10.1972</f>
        <v/>
      </c>
    </row>
    <row r="14">
      <c r="A14" t="inlineStr">
        <is>
          <t>Teste Hidrostático 1,5 x PMTA (kgf/cm²)</t>
        </is>
      </c>
      <c r="B14">
        <f>B13*1.5</f>
        <v/>
      </c>
    </row>
    <row r="15">
      <c r="A15" s="1" t="inlineStr">
        <is>
          <t>Status da Tampa</t>
        </is>
      </c>
      <c r="B15">
        <f>IF(B9&gt;=B11,"APROVADO","REPROVADO")</f>
        <v/>
      </c>
    </row>
    <row r="16">
      <c r="A16" s="1" t="inlineStr">
        <is>
          <t>Critério</t>
        </is>
      </c>
      <c r="B16" t="inlineStr">
        <is>
          <t>Espessura Medida &gt;= Espessura Mínima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2026-06-18T23:12:24Z</dcterms:created>
  <dcterms:modified xmlns:dcterms="http://purl.org/dc/terms/" xmlns:xsi="http://www.w3.org/2001/XMLSchema-instance" xsi:type="dcterms:W3CDTF">2026-06-18T23:14:38Z</dcterms:modified>
</cp:coreProperties>
</file>