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Casco" sheetId="2" state="visible" r:id="rId2"/>
    <sheet xmlns:r="http://schemas.openxmlformats.org/officeDocument/2006/relationships" name="Fundo_Plano" sheetId="3" state="visible" r:id="rId3"/>
    <sheet xmlns:r="http://schemas.openxmlformats.org/officeDocument/2006/relationships" name="Fundo_Eliptico" sheetId="4" state="visible" r:id="rId4"/>
    <sheet xmlns:r="http://schemas.openxmlformats.org/officeDocument/2006/relationships" name="Fundo_Torisferico" sheetId="5" state="visible" r:id="rId5"/>
    <sheet xmlns:r="http://schemas.openxmlformats.org/officeDocument/2006/relationships" name="Espelho_Estaiado" sheetId="6" state="visible" r:id="rId6"/>
    <sheet xmlns:r="http://schemas.openxmlformats.org/officeDocument/2006/relationships"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PLANILHA NR13 - CALDEIRA FLAMOTUBULAR</t>
        </is>
      </c>
    </row>
    <row r="2">
      <c r="A2" t="inlineStr">
        <is>
          <t>Pressão Projeto P (MPa)</t>
        </is>
      </c>
      <c r="B2" t="n">
        <v>0.7</v>
      </c>
    </row>
    <row r="3">
      <c r="A3" t="inlineStr">
        <is>
          <t>Tensão Admissível S (MPa)</t>
        </is>
      </c>
      <c r="B3" t="n">
        <v>108</v>
      </c>
    </row>
    <row r="4">
      <c r="A4" t="inlineStr">
        <is>
          <t>Eficiência E</t>
        </is>
      </c>
      <c r="B4" t="n">
        <v>0.85</v>
      </c>
    </row>
    <row r="5">
      <c r="A5" t="inlineStr">
        <is>
          <t>Raio Casco R (mm)</t>
        </is>
      </c>
      <c r="B5" t="n">
        <v>500</v>
      </c>
    </row>
    <row r="6">
      <c r="A6" t="inlineStr">
        <is>
          <t>Esp. Medida Casco (mm)</t>
        </is>
      </c>
      <c r="B6" t="n">
        <v>8</v>
      </c>
    </row>
    <row r="7">
      <c r="A7" t="inlineStr">
        <is>
          <t>Diam. Fundo Plano d (mm)</t>
        </is>
      </c>
      <c r="B7" t="n">
        <v>1000</v>
      </c>
    </row>
    <row r="8">
      <c r="A8" t="inlineStr">
        <is>
          <t>Esp. Fundo Plano (mm)</t>
        </is>
      </c>
      <c r="B8" t="n">
        <v>12</v>
      </c>
    </row>
    <row r="9">
      <c r="A9" t="inlineStr">
        <is>
          <t>Fator C</t>
        </is>
      </c>
      <c r="B9" t="n">
        <v>0.3</v>
      </c>
    </row>
    <row r="10">
      <c r="A10" t="inlineStr">
        <is>
          <t>Diam. Fundo Elíptico D (mm)</t>
        </is>
      </c>
      <c r="B10" t="n">
        <v>1000</v>
      </c>
    </row>
    <row r="11">
      <c r="A11" t="inlineStr">
        <is>
          <t>Esp. Fundo Elíptico (mm)</t>
        </is>
      </c>
      <c r="B11" t="n">
        <v>10</v>
      </c>
    </row>
    <row r="12">
      <c r="A12" t="inlineStr">
        <is>
          <t>Raio Coroa Torisférico L (mm)</t>
        </is>
      </c>
      <c r="B12" t="n">
        <v>1000</v>
      </c>
    </row>
    <row r="13">
      <c r="A13" t="inlineStr">
        <is>
          <t>Esp. Fundo Torisférico (mm)</t>
        </is>
      </c>
      <c r="B13" t="n">
        <v>10</v>
      </c>
    </row>
    <row r="14">
      <c r="A14" t="inlineStr">
        <is>
          <t>Diam. Espelho Estaiado D (mm)</t>
        </is>
      </c>
      <c r="B14" t="n">
        <v>1000</v>
      </c>
    </row>
    <row r="15">
      <c r="A15" t="inlineStr">
        <is>
          <t>Nº Estais</t>
        </is>
      </c>
      <c r="B15" t="n">
        <v>16</v>
      </c>
    </row>
    <row r="16">
      <c r="A16" t="inlineStr">
        <is>
          <t>Diam. Estai (mm)</t>
        </is>
      </c>
      <c r="B1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Esp. Mínima</t>
        </is>
      </c>
      <c r="B1">
        <f>(Dados!B2*Dados!B5)/((Dados!B3*Dados!B4)-(0.6*Dados!B2))</f>
        <v/>
      </c>
    </row>
    <row r="2">
      <c r="A2" t="inlineStr">
        <is>
          <t>PMTA</t>
        </is>
      </c>
      <c r="B2">
        <f>(Dados!B6*Dados!B3*Dados!B4)/(Dados!B5+0.6*Dados!B6)</f>
        <v/>
      </c>
    </row>
    <row r="3">
      <c r="A3" t="inlineStr">
        <is>
          <t>Status</t>
        </is>
      </c>
      <c r="B3">
        <f>IF(Dados!B6&gt;=B1,"APROVADO","REPROVADO")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Esp. Mínima</t>
        </is>
      </c>
      <c r="B1">
        <f>Dados!B7*SQRT((Dados!B9*Dados!B2)/(Dados!B3*Dados!B4))</f>
        <v/>
      </c>
    </row>
    <row r="2">
      <c r="A2" t="inlineStr">
        <is>
          <t>PMTA</t>
        </is>
      </c>
      <c r="B2">
        <f>((Dados!B3*Dados!B4)/Dados!B9)*((Dados!B8/Dados!B7)^2)</f>
        <v/>
      </c>
    </row>
    <row r="3">
      <c r="A3" t="inlineStr">
        <is>
          <t>Status</t>
        </is>
      </c>
      <c r="B3">
        <f>IF(Dados!B8&gt;=B1,"APROVADO","REPROVADO")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Esp. Mínima</t>
        </is>
      </c>
      <c r="B1">
        <f>(Dados!B2*Dados!B10)/((2*Dados!B3*Dados!B4)-(0.2*Dados!B2))</f>
        <v/>
      </c>
    </row>
    <row r="2">
      <c r="A2" t="inlineStr">
        <is>
          <t>PMTA</t>
        </is>
      </c>
      <c r="B2">
        <f>(2*Dados!B3*Dados!B4*Dados!B11)/(Dados!B10+0.2*Dados!B11)</f>
        <v/>
      </c>
    </row>
    <row r="3">
      <c r="A3" t="inlineStr">
        <is>
          <t>Status</t>
        </is>
      </c>
      <c r="B3">
        <f>IF(Dados!B11&gt;=B1,"APROVADO","REPROVADO")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Esp. Mínima</t>
        </is>
      </c>
      <c r="B1">
        <f>(0.885*Dados!B2*Dados!B12)/((Dados!B3*Dados!B4)-(0.1*Dados!B2))</f>
        <v/>
      </c>
    </row>
    <row r="2">
      <c r="A2" t="inlineStr">
        <is>
          <t>PMTA</t>
        </is>
      </c>
      <c r="B2">
        <f>(Dados!B3*Dados!B4*Dados!B13)/((0.885*Dados!B12)+(0.1*Dados!B13))</f>
        <v/>
      </c>
    </row>
    <row r="3">
      <c r="A3" t="inlineStr">
        <is>
          <t>Status</t>
        </is>
      </c>
      <c r="B3">
        <f>IF(Dados!B13&gt;=B1,"APROVADO","REPROVADO")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 Espelho</t>
        </is>
      </c>
      <c r="B1">
        <f>PI()*(Dados!B14^2)/4</f>
        <v/>
      </c>
    </row>
    <row r="2">
      <c r="A2" t="inlineStr">
        <is>
          <t>Área por Estai</t>
        </is>
      </c>
      <c r="B2">
        <f>B1/Dados!B15</f>
        <v/>
      </c>
    </row>
    <row r="3">
      <c r="A3" t="inlineStr">
        <is>
          <t>Carga por Estai</t>
        </is>
      </c>
      <c r="B3">
        <f>Dados!B2*B2</f>
        <v/>
      </c>
    </row>
    <row r="4">
      <c r="A4" t="inlineStr">
        <is>
          <t>Área Estai</t>
        </is>
      </c>
      <c r="B4">
        <f>PI()*(Dados!B16^2)/4</f>
        <v/>
      </c>
    </row>
    <row r="5">
      <c r="A5" t="inlineStr">
        <is>
          <t>Tensão Estai</t>
        </is>
      </c>
      <c r="B5">
        <f>B3/B4</f>
        <v/>
      </c>
    </row>
    <row r="6">
      <c r="A6" t="inlineStr">
        <is>
          <t>Status</t>
        </is>
      </c>
      <c r="B6">
        <f>IF(B5&lt;=Dados!B3,"APROVADO","REPROVADO")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PMTA Casco</t>
        </is>
      </c>
      <c r="B1">
        <f>Casco!B2</f>
        <v/>
      </c>
    </row>
    <row r="2">
      <c r="A2" t="inlineStr">
        <is>
          <t>PMTA Fundo Plano</t>
        </is>
      </c>
      <c r="B2">
        <f>Fundo_Plano!B2</f>
        <v/>
      </c>
    </row>
    <row r="3">
      <c r="A3" t="inlineStr">
        <is>
          <t>PMTA Fundo Elíptico</t>
        </is>
      </c>
      <c r="B3">
        <f>Fundo_Eliptico!B2</f>
        <v/>
      </c>
    </row>
    <row r="4">
      <c r="A4" t="inlineStr">
        <is>
          <t>PMTA Fundo Torisférico</t>
        </is>
      </c>
      <c r="B4">
        <f>Fundo_Torisferico!B2</f>
        <v/>
      </c>
    </row>
    <row r="5">
      <c r="A5" t="inlineStr">
        <is>
          <t>PMTA Governante</t>
        </is>
      </c>
      <c r="B5">
        <f>MIN(B1:B4)</f>
        <v/>
      </c>
    </row>
    <row r="6">
      <c r="A6" t="inlineStr">
        <is>
          <t>Status Final</t>
        </is>
      </c>
      <c r="B6">
        <f>IF(AND(Casco!B3="APROVADO",Fundo_Plano!B3="APROVADO",Fundo_Eliptico!B3="APROVADO",Fundo_Torisferico!B3="APROVADO",Espelho_Estaiado!B6="APROVADO"),"CALDEIRA APROVADA","CALDEIRA REPROVADA")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2026-06-18T23:36:53Z</dcterms:created>
  <dcterms:modified xmlns:dcterms="http://purl.org/dc/terms/" xmlns:xsi="http://www.w3.org/2001/XMLSchema-instance" xsi:type="dcterms:W3CDTF">2026-06-18T23:36:53Z</dcterms:modified>
</cp:coreProperties>
</file>