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Casco_UG27" sheetId="2" state="visible" r:id="rId2"/>
    <sheet xmlns:r="http://schemas.openxmlformats.org/officeDocument/2006/relationships" name="Espelho_UG34" sheetId="3" state="visible" r:id="rId3"/>
    <sheet xmlns:r="http://schemas.openxmlformats.org/officeDocument/2006/relationships" name="Fornalha" sheetId="4" state="visible" r:id="rId4"/>
    <sheet xmlns:r="http://schemas.openxmlformats.org/officeDocument/2006/relationships" name="Tubos" sheetId="5" state="visible" r:id="rId5"/>
    <sheet xmlns:r="http://schemas.openxmlformats.org/officeDocument/2006/relationships" name="Resum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CALDEIRA FLAMOTUBULAR - NR13 / ASME</t>
        </is>
      </c>
    </row>
    <row r="2">
      <c r="A2" t="inlineStr">
        <is>
          <t>Pressão Projeto (MPa)</t>
        </is>
      </c>
      <c r="B2" t="n">
        <v>0.7</v>
      </c>
    </row>
    <row r="3">
      <c r="A3" t="inlineStr">
        <is>
          <t>Tensão Admissível S (MPa)</t>
        </is>
      </c>
      <c r="B3" t="n">
        <v>108</v>
      </c>
    </row>
    <row r="4">
      <c r="A4" t="inlineStr">
        <is>
          <t>Eficiência E</t>
        </is>
      </c>
      <c r="B4" t="n">
        <v>0.85</v>
      </c>
    </row>
    <row r="5">
      <c r="A5" t="inlineStr">
        <is>
          <t>Raio Casco (mm)</t>
        </is>
      </c>
      <c r="B5" t="n">
        <v>500</v>
      </c>
    </row>
    <row r="6">
      <c r="A6" t="inlineStr">
        <is>
          <t>Esp. Medida Casco (mm)</t>
        </is>
      </c>
      <c r="B6" t="n">
        <v>8</v>
      </c>
    </row>
    <row r="7">
      <c r="A7" t="inlineStr">
        <is>
          <t>Diâmetro Espelho (mm)</t>
        </is>
      </c>
      <c r="B7" t="n">
        <v>1000</v>
      </c>
    </row>
    <row r="8">
      <c r="A8" t="inlineStr">
        <is>
          <t>Esp. Medida Espelho (mm)</t>
        </is>
      </c>
      <c r="B8" t="n">
        <v>12</v>
      </c>
    </row>
    <row r="9">
      <c r="A9" t="inlineStr">
        <is>
          <t>Fator C Espelho</t>
        </is>
      </c>
      <c r="B9" t="n">
        <v>0.3</v>
      </c>
    </row>
    <row r="10">
      <c r="A10" t="inlineStr">
        <is>
          <t>Raio Fornalha (mm)</t>
        </is>
      </c>
      <c r="B10" t="n">
        <v>200</v>
      </c>
    </row>
    <row r="11">
      <c r="A11" t="inlineStr">
        <is>
          <t>Esp. Medida Fornalha (mm)</t>
        </is>
      </c>
      <c r="B11" t="n">
        <v>8</v>
      </c>
    </row>
    <row r="12">
      <c r="A12" t="inlineStr">
        <is>
          <t>Diâmetro Tubo (mm)</t>
        </is>
      </c>
      <c r="B12" t="n">
        <v>51</v>
      </c>
    </row>
    <row r="13">
      <c r="A13" t="inlineStr">
        <is>
          <t>Esp. Medida Tubo (mm)</t>
        </is>
      </c>
      <c r="B13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Espessura mínima</t>
        </is>
      </c>
      <c r="B1">
        <f>(Dados!B2*Dados!B5)/((Dados!B3*Dados!B4)-(0.6*Dados!B2))</f>
        <v/>
      </c>
    </row>
    <row r="2">
      <c r="A2" t="inlineStr">
        <is>
          <t>PMTA</t>
        </is>
      </c>
      <c r="B2">
        <f>(Dados!B6*Dados!B3*Dados!B4)/(Dados!B5+0.6*Dados!B6)</f>
        <v/>
      </c>
    </row>
    <row r="3">
      <c r="A3" t="inlineStr">
        <is>
          <t>Status</t>
        </is>
      </c>
      <c r="B3">
        <f>IF(Dados!B6&gt;=B1,"APROVADO","REPROVADO")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Espessura mínima</t>
        </is>
      </c>
      <c r="B1">
        <f>Dados!B7*SQRT((Dados!B9*Dados!B2)/(Dados!B3*Dados!B4))</f>
        <v/>
      </c>
    </row>
    <row r="2">
      <c r="A2" t="inlineStr">
        <is>
          <t>PMTA</t>
        </is>
      </c>
      <c r="B2">
        <f>((Dados!B3*Dados!B4)/Dados!B9)*((Dados!B8/Dados!B7)^2)</f>
        <v/>
      </c>
    </row>
    <row r="3">
      <c r="A3" t="inlineStr">
        <is>
          <t>Status</t>
        </is>
      </c>
      <c r="B3">
        <f>IF(Dados!B8&gt;=B1,"APROVADO","REPROVADO")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Espessura mínima</t>
        </is>
      </c>
      <c r="B1">
        <f>(Dados!B2*Dados!B10)/((Dados!B3*Dados!B4)-(0.6*Dados!B2))</f>
        <v/>
      </c>
    </row>
    <row r="2">
      <c r="A2" t="inlineStr">
        <is>
          <t>PMTA</t>
        </is>
      </c>
      <c r="B2">
        <f>(Dados!B11*Dados!B3*Dados!B4)/(Dados!B10+0.6*Dados!B11)</f>
        <v/>
      </c>
    </row>
    <row r="3">
      <c r="A3" t="inlineStr">
        <is>
          <t>Status</t>
        </is>
      </c>
      <c r="B3">
        <f>IF(Dados!B11&gt;=B1,"APROVADO","REPROVADO")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PMTA</t>
        </is>
      </c>
      <c r="B1">
        <f>(2*Dados!B3*Dados!B13)/Dados!B12</f>
        <v/>
      </c>
    </row>
    <row r="2">
      <c r="A2" t="inlineStr">
        <is>
          <t>Status</t>
        </is>
      </c>
      <c r="B2">
        <f>IF(B1&gt;=Dados!B2,"APROVADO","REPROVADO")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PMTA Casco</t>
        </is>
      </c>
      <c r="B1">
        <f>Casco_UG27!B2</f>
        <v/>
      </c>
    </row>
    <row r="2">
      <c r="A2" t="inlineStr">
        <is>
          <t>PMTA Espelho</t>
        </is>
      </c>
      <c r="B2">
        <f>Espelho_UG34!B2</f>
        <v/>
      </c>
    </row>
    <row r="3">
      <c r="A3" t="inlineStr">
        <is>
          <t>PMTA Fornalha</t>
        </is>
      </c>
      <c r="B3">
        <f>Fornalha!B2</f>
        <v/>
      </c>
    </row>
    <row r="4">
      <c r="A4" t="inlineStr">
        <is>
          <t>PMTA Tubos</t>
        </is>
      </c>
      <c r="B4">
        <f>Tubos!B1</f>
        <v/>
      </c>
    </row>
    <row r="5">
      <c r="A5" t="inlineStr">
        <is>
          <t>PMTA Governante</t>
        </is>
      </c>
      <c r="B5">
        <f>MIN(B1:B4)</f>
        <v/>
      </c>
    </row>
    <row r="6">
      <c r="A6" t="inlineStr">
        <is>
          <t>Status Final</t>
        </is>
      </c>
      <c r="B6">
        <f>IF(AND(Casco_UG27!B3="APROVADO",Espelho_UG34!B3="APROVADO",Fornalha!B3="APROVADO",Tubos!B2="APROVADO"),"APROVADO","REPROVADO")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2026-06-18T23:27:04Z</dcterms:created>
  <dcterms:modified xmlns:dcterms="http://purl.org/dc/terms/" xmlns:xsi="http://www.w3.org/2001/XMLSchema-instance" xsi:type="dcterms:W3CDTF">2026-06-18T23:27:04Z</dcterms:modified>
</cp:coreProperties>
</file>