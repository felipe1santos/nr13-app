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Tubulao_Sup" sheetId="2" state="visible" r:id="rId2"/>
    <sheet xmlns:r="http://schemas.openxmlformats.org/officeDocument/2006/relationships" name="Tubulao_Inf" sheetId="3" state="visible" r:id="rId3"/>
    <sheet xmlns:r="http://schemas.openxmlformats.org/officeDocument/2006/relationships" name="Fundo_Eliptico" sheetId="4" state="visible" r:id="rId4"/>
    <sheet xmlns:r="http://schemas.openxmlformats.org/officeDocument/2006/relationships" name="Fundo_Torisferico" sheetId="5" state="visible" r:id="rId5"/>
    <sheet xmlns:r="http://schemas.openxmlformats.org/officeDocument/2006/relationships" name="Tubos_Geradores" sheetId="6" state="visible" r:id="rId6"/>
    <sheet xmlns:r="http://schemas.openxmlformats.org/officeDocument/2006/relationships" name="Coletores" sheetId="7" state="visible" r:id="rId7"/>
    <sheet xmlns:r="http://schemas.openxmlformats.org/officeDocument/2006/relationships" name="Superaquecedor" sheetId="8" state="visible" r:id="rId8"/>
    <sheet xmlns:r="http://schemas.openxmlformats.org/officeDocument/2006/relationships" name="Economizador" sheetId="9" state="visible" r:id="rId9"/>
    <sheet xmlns:r="http://schemas.openxmlformats.org/officeDocument/2006/relationships" name="Resum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CALDEIRA AQUATUBULAR - PMTA / NR13</t>
        </is>
      </c>
    </row>
    <row r="2">
      <c r="A2" t="inlineStr">
        <is>
          <t>Pressão Projeto P (MPa)</t>
        </is>
      </c>
      <c r="B2" t="n">
        <v>3</v>
      </c>
    </row>
    <row r="3">
      <c r="A3" t="inlineStr">
        <is>
          <t>Tensão Admissível S (MPa)</t>
        </is>
      </c>
      <c r="B3" t="n">
        <v>108</v>
      </c>
    </row>
    <row r="4">
      <c r="A4" t="inlineStr">
        <is>
          <t>Eficiência E</t>
        </is>
      </c>
      <c r="B4" t="n">
        <v>0.85</v>
      </c>
    </row>
    <row r="5">
      <c r="A5" t="inlineStr">
        <is>
          <t>Raio Tubulão Superior (mm)</t>
        </is>
      </c>
      <c r="B5" t="n">
        <v>400</v>
      </c>
    </row>
    <row r="6">
      <c r="A6" t="inlineStr">
        <is>
          <t>Esp. Medida Tubulão Superior (mm)</t>
        </is>
      </c>
      <c r="B6" t="n">
        <v>12</v>
      </c>
    </row>
    <row r="7">
      <c r="A7" t="inlineStr">
        <is>
          <t>Raio Tubulão Inferior (mm)</t>
        </is>
      </c>
      <c r="B7" t="n">
        <v>350</v>
      </c>
    </row>
    <row r="8">
      <c r="A8" t="inlineStr">
        <is>
          <t>Esp. Medida Tubulão Inferior (mm)</t>
        </is>
      </c>
      <c r="B8" t="n">
        <v>10</v>
      </c>
    </row>
    <row r="9">
      <c r="A9" t="inlineStr">
        <is>
          <t>Diâmetro Fundo Elíptico (mm)</t>
        </is>
      </c>
      <c r="B9" t="n">
        <v>800</v>
      </c>
    </row>
    <row r="10">
      <c r="A10" t="inlineStr">
        <is>
          <t>Esp. Fundo Elíptico (mm)</t>
        </is>
      </c>
      <c r="B10" t="n">
        <v>12</v>
      </c>
    </row>
    <row r="11">
      <c r="A11" t="inlineStr">
        <is>
          <t>Raio Coroa Fundo Torisférico L (mm)</t>
        </is>
      </c>
      <c r="B11" t="n">
        <v>800</v>
      </c>
    </row>
    <row r="12">
      <c r="A12" t="inlineStr">
        <is>
          <t>Esp. Fundo Torisférico (mm)</t>
        </is>
      </c>
      <c r="B12" t="n">
        <v>12</v>
      </c>
    </row>
    <row r="13">
      <c r="A13" t="inlineStr">
        <is>
          <t>Diâmetro Tubos Geradores (mm)</t>
        </is>
      </c>
      <c r="B13" t="n">
        <v>51</v>
      </c>
    </row>
    <row r="14">
      <c r="A14" t="inlineStr">
        <is>
          <t>Esp. Tubos Geradores (mm)</t>
        </is>
      </c>
      <c r="B14" t="n">
        <v>3</v>
      </c>
    </row>
    <row r="15">
      <c r="A15" t="inlineStr">
        <is>
          <t>Raio Coletor (mm)</t>
        </is>
      </c>
      <c r="B15" t="n">
        <v>150</v>
      </c>
    </row>
    <row r="16">
      <c r="A16" t="inlineStr">
        <is>
          <t>Esp. Coletor (mm)</t>
        </is>
      </c>
      <c r="B16" t="n">
        <v>8</v>
      </c>
    </row>
    <row r="17">
      <c r="A17" t="inlineStr">
        <is>
          <t>Diâmetro Superaquecedor (mm)</t>
        </is>
      </c>
      <c r="B17" t="n">
        <v>38</v>
      </c>
    </row>
    <row r="18">
      <c r="A18" t="inlineStr">
        <is>
          <t>Esp. Superaquecedor (mm)</t>
        </is>
      </c>
      <c r="B18" t="n">
        <v>3</v>
      </c>
    </row>
    <row r="19">
      <c r="A19" t="inlineStr">
        <is>
          <t>Diâmetro Economizador (mm)</t>
        </is>
      </c>
      <c r="B19" t="n">
        <v>38</v>
      </c>
    </row>
    <row r="20">
      <c r="A20" t="inlineStr">
        <is>
          <t>Esp. Economizador (mm)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(Dados!B2*Dados!B5)/((Dados!B3*Dados!B4)-(0.6*Dados!B2))</f>
        <v/>
      </c>
    </row>
    <row r="2">
      <c r="A2" t="inlineStr">
        <is>
          <t>PMTA</t>
        </is>
      </c>
      <c r="B2">
        <f>(Dados!B6*Dados!B3*Dados!B4)/(Dados!B5+0.6*Dados!B6)</f>
        <v/>
      </c>
    </row>
    <row r="3">
      <c r="A3" t="inlineStr">
        <is>
          <t>Status</t>
        </is>
      </c>
      <c r="B3">
        <f>IF(Dados!B6&gt;=B1,"APROVADO","REPROVADO")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(Dados!B2*Dados!B7)/((Dados!B3*Dados!B4)-(0.6*Dados!B2))</f>
        <v/>
      </c>
    </row>
    <row r="2">
      <c r="A2" t="inlineStr">
        <is>
          <t>PMTA</t>
        </is>
      </c>
      <c r="B2">
        <f>(Dados!B8*Dados!B3*Dados!B4)/(Dados!B7+0.6*Dados!B8)</f>
        <v/>
      </c>
    </row>
    <row r="3">
      <c r="A3" t="inlineStr">
        <is>
          <t>Status</t>
        </is>
      </c>
      <c r="B3">
        <f>IF(Dados!B8&gt;=B1,"APROVADO","REPROVADO")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(Dados!B2*Dados!B9)/((2*Dados!B3*Dados!B4)-(0.2*Dados!B2))</f>
        <v/>
      </c>
    </row>
    <row r="2">
      <c r="A2" t="inlineStr">
        <is>
          <t>PMTA</t>
        </is>
      </c>
      <c r="B2">
        <f>(2*Dados!B3*Dados!B4*Dados!B10)/(Dados!B9+0.2*Dados!B10)</f>
        <v/>
      </c>
    </row>
    <row r="3">
      <c r="A3" t="inlineStr">
        <is>
          <t>Status</t>
        </is>
      </c>
      <c r="B3">
        <f>IF(Dados!B10&gt;=B1,"APROVADO","REPROVADO")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(0.885*Dados!B2*Dados!B11)/((Dados!B3*Dados!B4)-(0.1*Dados!B2))</f>
        <v/>
      </c>
    </row>
    <row r="2">
      <c r="A2" t="inlineStr">
        <is>
          <t>PMTA</t>
        </is>
      </c>
      <c r="B2">
        <f>(Dados!B3*Dados!B4*Dados!B12)/((0.885*Dados!B11)+(0.1*Dados!B12))</f>
        <v/>
      </c>
    </row>
    <row r="3">
      <c r="A3" t="inlineStr">
        <is>
          <t>Status</t>
        </is>
      </c>
      <c r="B3">
        <f>IF(Dados!B12&gt;=B1,"APROVADO","REPROVADO")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</t>
        </is>
      </c>
      <c r="B1">
        <f>(2*Dados!B3*Dados!B4*Dados!B14)/Dados!B13</f>
        <v/>
      </c>
    </row>
    <row r="2">
      <c r="A2" t="inlineStr">
        <is>
          <t>Status</t>
        </is>
      </c>
      <c r="B2">
        <f>IF(B1&gt;=Dados!B2,"APROVADO","REPROVADO")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(Dados!B2*Dados!B15)/((Dados!B3*Dados!B4)-(0.6*Dados!B2))</f>
        <v/>
      </c>
    </row>
    <row r="2">
      <c r="A2" t="inlineStr">
        <is>
          <t>PMTA</t>
        </is>
      </c>
      <c r="B2">
        <f>(Dados!B16*Dados!B3*Dados!B4)/(Dados!B15+0.6*Dados!B16)</f>
        <v/>
      </c>
    </row>
    <row r="3">
      <c r="A3" t="inlineStr">
        <is>
          <t>Status</t>
        </is>
      </c>
      <c r="B3">
        <f>IF(Dados!B16&gt;=B1,"APROVADO","REPROVADO")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</t>
        </is>
      </c>
      <c r="B1">
        <f>(2*Dados!B3*Dados!B4*Dados!B18)/Dados!B17</f>
        <v/>
      </c>
    </row>
    <row r="2">
      <c r="A2" t="inlineStr">
        <is>
          <t>Status</t>
        </is>
      </c>
      <c r="B2">
        <f>IF(B1&gt;=Dados!B2,"APROVADO","REPROVADO")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</t>
        </is>
      </c>
      <c r="B1">
        <f>(2*Dados!B3*Dados!B4*Dados!B20)/Dados!B19</f>
        <v/>
      </c>
    </row>
    <row r="2">
      <c r="A2" t="inlineStr">
        <is>
          <t>Status</t>
        </is>
      </c>
      <c r="B2">
        <f>IF(B1&gt;=Dados!B2,"APROVADO","REPROVADO")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 Tub.Sup</t>
        </is>
      </c>
      <c r="B1">
        <f>Tubulao_Sup!B2</f>
        <v/>
      </c>
    </row>
    <row r="2">
      <c r="A2" t="inlineStr">
        <is>
          <t>PMTA Tub.Inf</t>
        </is>
      </c>
      <c r="B2">
        <f>Tubulao_Inf!B2</f>
        <v/>
      </c>
    </row>
    <row r="3">
      <c r="A3" t="inlineStr">
        <is>
          <t>PMTA Fundo Elíptico</t>
        </is>
      </c>
      <c r="B3">
        <f>Fundo_Eliptico!B2</f>
        <v/>
      </c>
    </row>
    <row r="4">
      <c r="A4" t="inlineStr">
        <is>
          <t>PMTA Fundo Torisférico</t>
        </is>
      </c>
      <c r="B4">
        <f>Fundo_Torisferico!B2</f>
        <v/>
      </c>
    </row>
    <row r="5">
      <c r="A5" t="inlineStr">
        <is>
          <t>PMTA Tubos</t>
        </is>
      </c>
      <c r="B5">
        <f>Tubos_Geradores!B1</f>
        <v/>
      </c>
    </row>
    <row r="6">
      <c r="A6" t="inlineStr">
        <is>
          <t>PMTA Coletor</t>
        </is>
      </c>
      <c r="B6">
        <f>Coletores!B2</f>
        <v/>
      </c>
    </row>
    <row r="7">
      <c r="A7" t="inlineStr">
        <is>
          <t>PMTA Superaquecedor</t>
        </is>
      </c>
      <c r="B7">
        <f>Superaquecedor!B1</f>
        <v/>
      </c>
    </row>
    <row r="8">
      <c r="A8" t="inlineStr">
        <is>
          <t>PMTA Economizador</t>
        </is>
      </c>
      <c r="B8">
        <f>Economizador!B1</f>
        <v/>
      </c>
    </row>
    <row r="10">
      <c r="A10" t="inlineStr">
        <is>
          <t>PMTA Governante</t>
        </is>
      </c>
      <c r="B10">
        <f>MIN(B1:B8)</f>
        <v/>
      </c>
    </row>
    <row r="11">
      <c r="A11" t="inlineStr">
        <is>
          <t>Status Final</t>
        </is>
      </c>
      <c r="B11">
        <f>IF(AND(Tubulao_Sup!B3="APROVADO",Tubulao_Inf!B3="APROVADO",Fundo_Eliptico!B3="APROVADO",Fundo_Torisferico!B3="APROVADO",Tubos_Geradores!B2="APROVADO",Coletores!B3="APROVADO",Superaquecedor!B2="APROVADO",Economizador!B2="APROVADO"),"CALDEIRA APROVADA","CALDEIRA REPROVADA")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2026-06-18T23:44:59Z</dcterms:created>
  <dcterms:modified xmlns:dcterms="http://purl.org/dc/terms/" xmlns:xsi="http://www.w3.org/2001/XMLSchema-instance" xsi:type="dcterms:W3CDTF">2026-06-18T23:44:59Z</dcterms:modified>
</cp:coreProperties>
</file>