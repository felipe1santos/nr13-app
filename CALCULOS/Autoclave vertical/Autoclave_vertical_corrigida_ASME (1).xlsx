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Entrada de Dados" sheetId="1" state="visible" r:id="rId1"/>
    <sheet xmlns:r="http://schemas.openxmlformats.org/officeDocument/2006/relationships" name="Cálculo Tampo" sheetId="2" state="visible" r:id="rId2"/>
    <sheet xmlns:r="http://schemas.openxmlformats.org/officeDocument/2006/relationships" name="Cálculo Costado" sheetId="3" state="visible" r:id="rId3"/>
    <sheet xmlns:r="http://schemas.openxmlformats.org/officeDocument/2006/relationships" name="Cálculo Fundo" sheetId="4" state="visible" r:id="rId4"/>
    <sheet xmlns:r="http://schemas.openxmlformats.org/officeDocument/2006/relationships" name="Resultado Final" sheetId="5" state="visible" r:id="rId5"/>
    <sheet xmlns:r="http://schemas.openxmlformats.org/officeDocument/2006/relationships" name="Cálculo Travas" sheetId="6" state="visible" r:id="rId6"/>
    <sheet xmlns:r="http://schemas.openxmlformats.org/officeDocument/2006/relationships" name="Flange e Vedação" sheetId="7" state="visible" r:id="rId7"/>
    <sheet xmlns:r="http://schemas.openxmlformats.org/officeDocument/2006/relationships" name="Teste Hidrostático" sheetId="8" state="visible" r:id="rId8"/>
    <sheet xmlns:r="http://schemas.openxmlformats.org/officeDocument/2006/relationships" name="Relatório Técnico" sheetId="9" state="visible" r:id="rId9"/>
    <sheet xmlns:r="http://schemas.openxmlformats.org/officeDocument/2006/relationships" name="Tampo_Conico_ASME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selection activeCell="A1" sqref="A1"/>
    </sheetView>
  </sheetViews>
  <sheetFormatPr baseColWidth="8" defaultRowHeight="15"/>
  <cols>
    <col width="48" customWidth="1" min="1" max="4"/>
  </cols>
  <sheetData>
    <row r="1">
      <c r="A1" s="1" t="inlineStr">
        <is>
          <t>Parâmetro</t>
        </is>
      </c>
      <c r="B1" s="1" t="inlineStr">
        <is>
          <t>Valor</t>
        </is>
      </c>
      <c r="C1" s="1" t="inlineStr">
        <is>
          <t>Unidade</t>
        </is>
      </c>
    </row>
    <row r="2">
      <c r="A2" t="inlineStr">
        <is>
          <t>Diâmetro interno</t>
        </is>
      </c>
      <c r="B2" t="n">
        <v>400</v>
      </c>
      <c r="C2" t="inlineStr">
        <is>
          <t>mm</t>
        </is>
      </c>
    </row>
    <row r="3">
      <c r="A3" t="inlineStr">
        <is>
          <t>Pressão de projeto</t>
        </is>
      </c>
      <c r="B3" t="n">
        <v>0.2</v>
      </c>
      <c r="C3" t="inlineStr">
        <is>
          <t>MPa</t>
        </is>
      </c>
    </row>
    <row r="4">
      <c r="A4" t="inlineStr">
        <is>
          <t>Temperatura de projeto</t>
        </is>
      </c>
      <c r="B4" t="n">
        <v>134</v>
      </c>
      <c r="C4" t="inlineStr">
        <is>
          <t>°C</t>
        </is>
      </c>
    </row>
    <row r="5">
      <c r="A5" t="inlineStr">
        <is>
          <t>Espessura instalada tampo</t>
        </is>
      </c>
      <c r="B5" t="n">
        <v>8</v>
      </c>
      <c r="C5" t="inlineStr">
        <is>
          <t>mm</t>
        </is>
      </c>
    </row>
    <row r="6">
      <c r="A6" t="inlineStr">
        <is>
          <t>Espessura instalada costado</t>
        </is>
      </c>
      <c r="B6" t="n">
        <v>4</v>
      </c>
      <c r="C6" t="inlineStr">
        <is>
          <t>mm</t>
        </is>
      </c>
    </row>
    <row r="7">
      <c r="A7" t="inlineStr">
        <is>
          <t>Espessura instalada fundo</t>
        </is>
      </c>
      <c r="B7" t="n">
        <v>6</v>
      </c>
      <c r="C7" t="inlineStr">
        <is>
          <t>mm</t>
        </is>
      </c>
    </row>
    <row r="8">
      <c r="A8" t="inlineStr">
        <is>
          <t>Tensão admissível material</t>
        </is>
      </c>
      <c r="B8" t="n">
        <v>138</v>
      </c>
      <c r="C8" t="inlineStr">
        <is>
          <t>MPa</t>
        </is>
      </c>
    </row>
    <row r="9">
      <c r="A9" t="inlineStr">
        <is>
          <t>Eficiência junta (E)</t>
        </is>
      </c>
      <c r="B9" t="n">
        <v>1</v>
      </c>
      <c r="C9" t="inlineStr">
        <is>
          <t>-</t>
        </is>
      </c>
    </row>
    <row r="10">
      <c r="A10" t="inlineStr">
        <is>
          <t>Corrosão</t>
        </is>
      </c>
      <c r="B10" t="n">
        <v>1</v>
      </c>
      <c r="C10" t="inlineStr">
        <is>
          <t>mm</t>
        </is>
      </c>
    </row>
    <row r="11">
      <c r="A11" t="inlineStr">
        <is>
          <t>Fator geométrico (C)</t>
        </is>
      </c>
      <c r="B11" t="n">
        <v>0.33</v>
      </c>
      <c r="C11" t="inlineStr">
        <is>
          <t>-</t>
        </is>
      </c>
    </row>
    <row r="12">
      <c r="A12" t="inlineStr">
        <is>
          <t>Quantidade de travas</t>
        </is>
      </c>
      <c r="B12" t="n">
        <v>6</v>
      </c>
      <c r="C12" t="inlineStr">
        <is>
          <t>un</t>
        </is>
      </c>
    </row>
    <row r="13">
      <c r="A13" t="inlineStr">
        <is>
          <t>Diâmetro do parafuso/trava</t>
        </is>
      </c>
      <c r="B13" t="n">
        <v>12</v>
      </c>
      <c r="C13" t="inlineStr">
        <is>
          <t>mm</t>
        </is>
      </c>
    </row>
    <row r="14">
      <c r="A14" t="inlineStr">
        <is>
          <t>Tensão admissível parafuso</t>
        </is>
      </c>
      <c r="B14" t="n">
        <v>120</v>
      </c>
      <c r="C14" t="inlineStr">
        <is>
          <t>MPa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8" customWidth="1" min="1" max="4"/>
  </cols>
  <sheetData>
    <row r="1">
      <c r="A1" s="1" t="inlineStr">
        <is>
          <t>Descrição</t>
        </is>
      </c>
      <c r="B1" s="1" t="inlineStr">
        <is>
          <t>Valor</t>
        </is>
      </c>
    </row>
    <row r="2">
      <c r="A2" t="inlineStr">
        <is>
          <t>Diâmetro interno (mm)</t>
        </is>
      </c>
      <c r="B2">
        <f>'Entrada de Dados'!B2</f>
        <v/>
      </c>
    </row>
    <row r="3">
      <c r="A3" t="inlineStr">
        <is>
          <t>Pressão projeto (MPa)</t>
        </is>
      </c>
      <c r="B3">
        <f>'Entrada de Dados'!B3</f>
        <v/>
      </c>
    </row>
    <row r="4">
      <c r="A4" t="inlineStr">
        <is>
          <t>Espessura instalada (mm)</t>
        </is>
      </c>
      <c r="B4">
        <f>'Entrada de Dados'!B5</f>
        <v/>
      </c>
    </row>
    <row r="5">
      <c r="A5" t="inlineStr">
        <is>
          <t>Tensão admissível (MPa)</t>
        </is>
      </c>
      <c r="B5">
        <f>'Entrada de Dados'!B8</f>
        <v/>
      </c>
    </row>
    <row r="6">
      <c r="A6" t="inlineStr">
        <is>
          <t>Eficiência (E)</t>
        </is>
      </c>
      <c r="B6">
        <f>'Entrada de Dados'!B9</f>
        <v/>
      </c>
    </row>
    <row r="7">
      <c r="A7" t="inlineStr">
        <is>
          <t>Fator C</t>
        </is>
      </c>
      <c r="B7">
        <f>'Entrada de Dados'!B11</f>
        <v/>
      </c>
    </row>
    <row r="8">
      <c r="A8" t="inlineStr">
        <is>
          <t>Espessura mínima requerida (mm)</t>
        </is>
      </c>
      <c r="B8">
        <f>B2*SQRT((B7*B3)/(B5*B6))/10</f>
        <v/>
      </c>
    </row>
    <row r="9">
      <c r="A9" t="inlineStr">
        <is>
          <t>PMTA calculada (MPa)</t>
        </is>
      </c>
      <c r="B9">
        <f>(B5*B6/B7)*((B4*10/B2)^2)</f>
        <v/>
      </c>
    </row>
    <row r="10">
      <c r="A10" t="inlineStr">
        <is>
          <t>Status</t>
        </is>
      </c>
      <c r="B10">
        <f>IF(AND(B4&gt;=B8,B9&gt;=B3),"APROVADO","REPROVADO")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8" customWidth="1" min="1" max="4"/>
  </cols>
  <sheetData>
    <row r="1">
      <c r="A1" s="1" t="inlineStr">
        <is>
          <t>Descrição</t>
        </is>
      </c>
      <c r="B1" s="1" t="inlineStr">
        <is>
          <t>Valor</t>
        </is>
      </c>
    </row>
    <row r="2">
      <c r="A2" t="inlineStr">
        <is>
          <t>Pressão projeto (MPa)</t>
        </is>
      </c>
      <c r="B2">
        <f>'Entrada de Dados'!B3</f>
        <v/>
      </c>
    </row>
    <row r="3">
      <c r="A3" t="inlineStr">
        <is>
          <t>Raio interno (mm)</t>
        </is>
      </c>
      <c r="B3">
        <f>'Entrada de Dados'!B2/2</f>
        <v/>
      </c>
    </row>
    <row r="4">
      <c r="A4" t="inlineStr">
        <is>
          <t>Espessura instalada (mm)</t>
        </is>
      </c>
      <c r="B4">
        <f>'Entrada de Dados'!B6</f>
        <v/>
      </c>
    </row>
    <row r="5">
      <c r="A5" t="inlineStr">
        <is>
          <t>Tensão admissível (MPa)</t>
        </is>
      </c>
      <c r="B5">
        <f>'Entrada de Dados'!B8</f>
        <v/>
      </c>
    </row>
    <row r="6">
      <c r="A6" t="inlineStr">
        <is>
          <t>Eficiência (E)</t>
        </is>
      </c>
      <c r="B6">
        <f>'Entrada de Dados'!B9</f>
        <v/>
      </c>
    </row>
    <row r="7">
      <c r="A7" t="inlineStr">
        <is>
          <t>Espessura mínima requerida (mm)</t>
        </is>
      </c>
      <c r="B7">
        <f>(B2*B3)/((B5*B6)-(0.6*B2))</f>
        <v/>
      </c>
    </row>
    <row r="8">
      <c r="A8" t="inlineStr">
        <is>
          <t>Status</t>
        </is>
      </c>
      <c r="B8">
        <f>IF(B4&gt;=B7,"APROVADO","REPROVADO")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8" customWidth="1" min="1" max="4"/>
  </cols>
  <sheetData>
    <row r="1">
      <c r="A1" s="1" t="inlineStr">
        <is>
          <t>Descrição</t>
        </is>
      </c>
      <c r="B1" s="1" t="inlineStr">
        <is>
          <t>Valor</t>
        </is>
      </c>
    </row>
    <row r="2">
      <c r="A2" t="inlineStr">
        <is>
          <t>Espessura instalada (mm)</t>
        </is>
      </c>
      <c r="B2">
        <f>'Entrada de Dados'!B7</f>
        <v/>
      </c>
    </row>
    <row r="3">
      <c r="A3" t="inlineStr">
        <is>
          <t>Espessura mínima requerida (mm)</t>
        </is>
      </c>
      <c r="B3">
        <f>'Cálculo Tampo'!B8</f>
        <v/>
      </c>
    </row>
    <row r="4">
      <c r="A4" t="inlineStr">
        <is>
          <t>Status</t>
        </is>
      </c>
      <c r="B4">
        <f>IF(B2&gt;=B3,"APROVADO","REPROVADO")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4"/>
  </cols>
  <sheetData>
    <row r="1">
      <c r="A1" s="1" t="inlineStr">
        <is>
          <t>COMPONENTE</t>
        </is>
      </c>
      <c r="B1" s="1" t="inlineStr">
        <is>
          <t>STATUS</t>
        </is>
      </c>
    </row>
    <row r="2">
      <c r="A2" t="inlineStr">
        <is>
          <t>Tampo</t>
        </is>
      </c>
      <c r="B2">
        <f>'Cálculo Tampo'!B10</f>
        <v/>
      </c>
    </row>
    <row r="3">
      <c r="A3" t="inlineStr">
        <is>
          <t>Costado</t>
        </is>
      </c>
      <c r="B3">
        <f>'Cálculo Costado'!B8</f>
        <v/>
      </c>
    </row>
    <row r="4">
      <c r="A4" t="inlineStr">
        <is>
          <t>Fundo</t>
        </is>
      </c>
      <c r="B4">
        <f>'Cálculo Fundo'!B4</f>
        <v/>
      </c>
    </row>
    <row r="5">
      <c r="A5" t="inlineStr">
        <is>
          <t>Travas</t>
        </is>
      </c>
      <c r="B5">
        <f>'Cálculo Travas'!B12</f>
        <v/>
      </c>
    </row>
    <row r="6">
      <c r="A6" s="2" t="inlineStr">
        <is>
          <t>RESULTADO GERAL</t>
        </is>
      </c>
      <c r="B6" s="2">
        <f>IF(COUNTIF(B2:B5,"REPROVADO")&gt;0,"REPROVADO GERAL","APROVADO GERAL")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4"/>
  </cols>
  <sheetData>
    <row r="1">
      <c r="A1" s="1" t="inlineStr">
        <is>
          <t>Descrição</t>
        </is>
      </c>
      <c r="B1" s="1" t="inlineStr">
        <is>
          <t>Valor</t>
        </is>
      </c>
    </row>
    <row r="2">
      <c r="A2" t="inlineStr">
        <is>
          <t>Pressão de projeto (MPa)</t>
        </is>
      </c>
      <c r="B2">
        <f>'Entrada de Dados'!B3</f>
        <v/>
      </c>
    </row>
    <row r="3">
      <c r="A3" t="inlineStr">
        <is>
          <t>Diâmetro interno do vaso (mm)</t>
        </is>
      </c>
      <c r="B3">
        <f>'Entrada de Dados'!B2</f>
        <v/>
      </c>
    </row>
    <row r="4">
      <c r="A4" t="inlineStr">
        <is>
          <t>Quantidade de travas</t>
        </is>
      </c>
      <c r="B4">
        <f>'Entrada de Dados'!B12</f>
        <v/>
      </c>
    </row>
    <row r="5">
      <c r="A5" t="inlineStr">
        <is>
          <t>Diâmetro parafuso/trava (mm)</t>
        </is>
      </c>
      <c r="B5">
        <f>'Entrada de Dados'!B13</f>
        <v/>
      </c>
    </row>
    <row r="6">
      <c r="A6" t="inlineStr">
        <is>
          <t>Tensão admissível parafuso (MPa)</t>
        </is>
      </c>
      <c r="B6">
        <f>'Entrada de Dados'!B14</f>
        <v/>
      </c>
    </row>
    <row r="7">
      <c r="A7" t="inlineStr">
        <is>
          <t>Área total da tampa (mm²)</t>
        </is>
      </c>
      <c r="B7">
        <f>PI()*(B3^2)/4</f>
        <v/>
      </c>
    </row>
    <row r="8">
      <c r="A8" t="inlineStr">
        <is>
          <t>Força total de separação (N)</t>
        </is>
      </c>
      <c r="B8">
        <f>B2*B7</f>
        <v/>
      </c>
    </row>
    <row r="9">
      <c r="A9" t="inlineStr">
        <is>
          <t>Área resistente por trava (mm²)</t>
        </is>
      </c>
      <c r="B9">
        <f>PI()*(B5^2)/4</f>
        <v/>
      </c>
    </row>
    <row r="10">
      <c r="A10" t="inlineStr">
        <is>
          <t>Carga por trava (N)</t>
        </is>
      </c>
      <c r="B10">
        <f>B8/B4</f>
        <v/>
      </c>
    </row>
    <row r="11">
      <c r="A11" t="inlineStr">
        <is>
          <t>Carga admissível por trava (N)</t>
        </is>
      </c>
      <c r="B11">
        <f>B9*B6</f>
        <v/>
      </c>
    </row>
    <row r="12">
      <c r="A12" t="inlineStr">
        <is>
          <t>Status das travas</t>
        </is>
      </c>
      <c r="B12">
        <f>IF(B11&gt;=B10,"APROVADO","REPROVADO")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4"/>
  </cols>
  <sheetData>
    <row r="1">
      <c r="A1" s="1" t="inlineStr">
        <is>
          <t>Descrição</t>
        </is>
      </c>
      <c r="B1" s="1" t="inlineStr">
        <is>
          <t>Valor</t>
        </is>
      </c>
    </row>
    <row r="2">
      <c r="A2" t="inlineStr">
        <is>
          <t>Diâmetro interno (mm)</t>
        </is>
      </c>
      <c r="B2">
        <f>'Entrada de Dados'!B2</f>
        <v/>
      </c>
    </row>
    <row r="3">
      <c r="A3" t="inlineStr">
        <is>
          <t>Pressão de projeto (MPa)</t>
        </is>
      </c>
      <c r="B3">
        <f>'Entrada de Dados'!B3</f>
        <v/>
      </c>
    </row>
    <row r="4">
      <c r="A4" t="inlineStr">
        <is>
          <t>Largura estimada flange (mm)</t>
        </is>
      </c>
      <c r="B4" t="n">
        <v>35</v>
      </c>
    </row>
    <row r="5">
      <c r="A5" t="inlineStr">
        <is>
          <t>Espessura flange (mm)</t>
        </is>
      </c>
      <c r="B5" t="n">
        <v>12</v>
      </c>
    </row>
    <row r="6">
      <c r="A6" t="inlineStr">
        <is>
          <t>Área efetiva vedação (mm²)</t>
        </is>
      </c>
      <c r="B6">
        <f>PI()*B2*B4</f>
        <v/>
      </c>
    </row>
    <row r="7">
      <c r="A7" t="inlineStr">
        <is>
          <t>Força total sobre tampa (N)</t>
        </is>
      </c>
      <c r="B7">
        <f>B3*(PI()*(B2^2)/4)</f>
        <v/>
      </c>
    </row>
    <row r="8">
      <c r="A8" t="inlineStr">
        <is>
          <t>Momento simplificado flange (N.mm)</t>
        </is>
      </c>
      <c r="B8">
        <f>B7*(B4/2)</f>
        <v/>
      </c>
    </row>
    <row r="9">
      <c r="A9" t="inlineStr">
        <is>
          <t>Status flange</t>
        </is>
      </c>
      <c r="B9">
        <f>IF(B5&gt;=10,"APROVADO","REPROVADO")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8" customWidth="1" min="1" max="4"/>
  </cols>
  <sheetData>
    <row r="1">
      <c r="A1" s="1" t="inlineStr">
        <is>
          <t>Descrição</t>
        </is>
      </c>
      <c r="B1" s="1" t="inlineStr">
        <is>
          <t>Valor</t>
        </is>
      </c>
    </row>
    <row r="2">
      <c r="A2" t="inlineStr">
        <is>
          <t>Pressão de projeto (MPa)</t>
        </is>
      </c>
      <c r="B2">
        <f>'Entrada de Dados'!B3</f>
        <v/>
      </c>
    </row>
    <row r="3">
      <c r="A3" t="inlineStr">
        <is>
          <t>Fator ASME teste</t>
        </is>
      </c>
      <c r="B3" t="n">
        <v>1.3</v>
      </c>
    </row>
    <row r="4">
      <c r="A4" t="inlineStr">
        <is>
          <t>Pressão de teste hidrostático (MPa)</t>
        </is>
      </c>
      <c r="B4">
        <f>B2*B3</f>
        <v/>
      </c>
    </row>
    <row r="5">
      <c r="A5" t="inlineStr">
        <is>
          <t>PMTA do tampo (MPa)</t>
        </is>
      </c>
      <c r="B5">
        <f>'Cálculo Tampo'!B9</f>
        <v/>
      </c>
    </row>
    <row r="6">
      <c r="A6" t="inlineStr">
        <is>
          <t>PMTA do costado (MPa)</t>
        </is>
      </c>
      <c r="B6">
        <f>'Entrada de Dados'!B8</f>
        <v/>
      </c>
    </row>
    <row r="7">
      <c r="A7" t="inlineStr">
        <is>
          <t>Pressão admissível final (MPa)</t>
        </is>
      </c>
      <c r="B7">
        <f>MIN(B5,B6)</f>
        <v/>
      </c>
    </row>
    <row r="8">
      <c r="A8" t="inlineStr">
        <is>
          <t>Status teste</t>
        </is>
      </c>
      <c r="B8">
        <f>IF(B7&gt;=B4,"APROVADO","REPROVADO")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8" customWidth="1" min="1" max="4"/>
  </cols>
  <sheetData>
    <row r="1" ht="18.75" customHeight="1">
      <c r="A1" s="3" t="inlineStr">
        <is>
          <t>RELATÓRIO RESUMIDO DE VERIFICAÇÃO ASME VIII DIV.1 / NR-13</t>
        </is>
      </c>
    </row>
    <row r="3">
      <c r="A3" t="inlineStr">
        <is>
          <t>Modelo considerado: Autoclave vertical com tampo plano removível.</t>
        </is>
      </c>
    </row>
    <row r="4">
      <c r="A4" t="inlineStr">
        <is>
          <t>Tipo de tampa: Flat Head / Flat Cover conforme conceito UG-34.</t>
        </is>
      </c>
    </row>
    <row r="5">
      <c r="A5" t="inlineStr">
        <is>
          <t>Fechamento: Travas/parafusos distribuídos radialmente.</t>
        </is>
      </c>
    </row>
    <row r="6">
      <c r="A6" t="inlineStr">
        <is>
          <t>Normas de referência: ASME VIII Div.1 e NR-13.</t>
        </is>
      </c>
    </row>
    <row r="7">
      <c r="A7" t="inlineStr">
        <is>
          <t>Os cálculos apresentados são simplificados e destinados à pré-avaliação técnica.</t>
        </is>
      </c>
    </row>
    <row r="8">
      <c r="A8" t="inlineStr">
        <is>
          <t>Para validação oficial recomenda-se memorial completo e ART.</t>
        </is>
      </c>
    </row>
    <row r="10">
      <c r="A10" s="2" t="inlineStr">
        <is>
          <t>RESULTADO FINAL</t>
        </is>
      </c>
      <c r="B10" s="2">
        <f>'Resultado Final'!B6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MEMORIAL DE CÁLCULO - TAMPO CÔNICO ASME VIII DIV.1</t>
        </is>
      </c>
    </row>
    <row r="2">
      <c r="A2" t="inlineStr">
        <is>
          <t>Parâmetro</t>
        </is>
      </c>
      <c r="B2" t="inlineStr">
        <is>
          <t>Valor</t>
        </is>
      </c>
    </row>
    <row r="3">
      <c r="A3" t="inlineStr">
        <is>
          <t>Pressão de Projeto P (MPa)</t>
        </is>
      </c>
      <c r="B3" t="n">
        <v>0.6899999999999999</v>
      </c>
    </row>
    <row r="4">
      <c r="A4" t="inlineStr">
        <is>
          <t>Diâmetro D (mm)</t>
        </is>
      </c>
      <c r="B4" t="n">
        <v>680</v>
      </c>
    </row>
    <row r="5">
      <c r="A5" t="inlineStr">
        <is>
          <t>Semiângulo α (graus)</t>
        </is>
      </c>
      <c r="B5" t="n">
        <v>15</v>
      </c>
    </row>
    <row r="6">
      <c r="A6" t="inlineStr">
        <is>
          <t>Tensão Admissível S (MPa)</t>
        </is>
      </c>
      <c r="B6" t="n">
        <v>108</v>
      </c>
    </row>
    <row r="7">
      <c r="A7" t="inlineStr">
        <is>
          <t>Eficiência de Solda E</t>
        </is>
      </c>
      <c r="B7" t="n">
        <v>0.8</v>
      </c>
    </row>
    <row r="8">
      <c r="A8" t="inlineStr">
        <is>
          <t>Sobrecorrosão C (mm)</t>
        </is>
      </c>
      <c r="B8" t="n">
        <v>0</v>
      </c>
    </row>
    <row r="9">
      <c r="A9" t="inlineStr">
        <is>
          <t>Espessura Medida t (mm)</t>
        </is>
      </c>
      <c r="B9" t="n">
        <v>6.51</v>
      </c>
    </row>
    <row r="10">
      <c r="A10" t="inlineStr">
        <is>
          <t>cos(α)</t>
        </is>
      </c>
      <c r="B10">
        <f>COS(RADIANS(B5))</f>
        <v/>
      </c>
    </row>
    <row r="11">
      <c r="A11" t="inlineStr">
        <is>
          <t>Espessura Mínima Requerida (mm)</t>
        </is>
      </c>
      <c r="B11">
        <f>(B3*B4)/(2*B10*((B6*B7)-(0.6*B3)))</f>
        <v/>
      </c>
    </row>
    <row r="12">
      <c r="A12" t="inlineStr">
        <is>
          <t>PMTA (MPa)</t>
        </is>
      </c>
      <c r="B12">
        <f>((B9-B8)*(B6*B7))/((B4/(2*B10))+(0.6*(B9-B8)))</f>
        <v/>
      </c>
    </row>
    <row r="13">
      <c r="A13" t="inlineStr">
        <is>
          <t>PMTA (kgf/cm²)</t>
        </is>
      </c>
      <c r="B13">
        <f>B12*10.1972</f>
        <v/>
      </c>
    </row>
    <row r="14">
      <c r="A14" t="inlineStr">
        <is>
          <t>Teste Hidrostático (kgf/cm²)</t>
        </is>
      </c>
      <c r="B14">
        <f>B13*1.5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2026-05-23T22:48:01Z</dcterms:created>
  <dcterms:modified xmlns:dcterms="http://purl.org/dc/terms/" xmlns:xsi="http://www.w3.org/2001/XMLSchema-instance" xsi:type="dcterms:W3CDTF">2026-06-18T22:57:18Z</dcterms:modified>
  <cp:lastModifiedBy>Gabriel Borges</cp:lastModifiedBy>
</cp:coreProperties>
</file>